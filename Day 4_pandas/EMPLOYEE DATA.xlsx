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13e64f2e67d0b8/Documents/"/>
    </mc:Choice>
  </mc:AlternateContent>
  <xr:revisionPtr revIDLastSave="367" documentId="8_{019AA949-9042-4E65-AADD-C7C68628A3DA}" xr6:coauthVersionLast="47" xr6:coauthVersionMax="47" xr10:uidLastSave="{B94DCEDF-63A8-4DA1-BBF2-2A4BA25AF0E9}"/>
  <bookViews>
    <workbookView xWindow="-120" yWindow="-120" windowWidth="29040" windowHeight="15720" activeTab="2" xr2:uid="{916D6026-75F2-4664-B6FA-AD01EACE6A8B}"/>
  </bookViews>
  <sheets>
    <sheet name="Sheet4" sheetId="4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" l="1"/>
  <c r="P4" i="1"/>
  <c r="Q4" i="1" s="1"/>
  <c r="P5" i="1"/>
  <c r="Q5" i="1" s="1"/>
  <c r="P6" i="1"/>
  <c r="Q6" i="1" s="1"/>
  <c r="P7" i="1"/>
  <c r="Q7" i="1" s="1"/>
  <c r="P8" i="1"/>
  <c r="P9" i="1"/>
  <c r="Q9" i="1" s="1"/>
  <c r="P10" i="1"/>
  <c r="Q10" i="1" s="1"/>
  <c r="P11" i="1"/>
  <c r="Q11" i="1" s="1"/>
  <c r="P12" i="1"/>
  <c r="Q12" i="1" s="1"/>
  <c r="P3" i="1"/>
  <c r="Q3" i="1" s="1"/>
  <c r="K3" i="1"/>
  <c r="J8" i="1"/>
  <c r="I3" i="1"/>
  <c r="F17" i="1" l="1"/>
  <c r="H17" i="1"/>
  <c r="G17" i="1"/>
  <c r="L10" i="1"/>
  <c r="M3" i="1"/>
  <c r="M8" i="1"/>
  <c r="M13" i="1"/>
  <c r="M10" i="1"/>
  <c r="M5" i="1"/>
  <c r="M15" i="1"/>
  <c r="M7" i="1"/>
  <c r="L12" i="1"/>
  <c r="M4" i="1"/>
  <c r="M9" i="1"/>
  <c r="M14" i="1"/>
  <c r="M11" i="1"/>
  <c r="M6" i="1"/>
  <c r="L16" i="1"/>
  <c r="M16" i="1"/>
  <c r="L11" i="1"/>
  <c r="M12" i="1"/>
  <c r="L7" i="1"/>
  <c r="J4" i="1"/>
  <c r="L15" i="1"/>
  <c r="L9" i="1"/>
  <c r="L6" i="1"/>
  <c r="L8" i="1"/>
  <c r="L14" i="1"/>
  <c r="L3" i="1"/>
  <c r="J13" i="1"/>
  <c r="K5" i="1"/>
  <c r="K10" i="1"/>
  <c r="L13" i="1"/>
  <c r="L5" i="1"/>
  <c r="L4" i="1"/>
  <c r="K15" i="1"/>
  <c r="K7" i="1"/>
  <c r="J9" i="1"/>
  <c r="K14" i="1"/>
  <c r="K6" i="1"/>
  <c r="K12" i="1"/>
  <c r="K16" i="1"/>
  <c r="K8" i="1"/>
  <c r="K11" i="1"/>
  <c r="K9" i="1"/>
  <c r="K13" i="1"/>
  <c r="K4" i="1"/>
  <c r="J10" i="1"/>
  <c r="J15" i="1"/>
  <c r="J7" i="1"/>
  <c r="J12" i="1"/>
  <c r="J6" i="1"/>
  <c r="J14" i="1"/>
  <c r="J11" i="1"/>
  <c r="J3" i="1"/>
  <c r="J16" i="1"/>
  <c r="J5" i="1"/>
  <c r="I17" i="1" l="1"/>
  <c r="K17" i="1"/>
  <c r="L17" i="1"/>
  <c r="J17" i="1"/>
  <c r="M17" i="1"/>
</calcChain>
</file>

<file path=xl/sharedStrings.xml><?xml version="1.0" encoding="utf-8"?>
<sst xmlns="http://schemas.openxmlformats.org/spreadsheetml/2006/main" count="45" uniqueCount="40">
  <si>
    <t>AGE</t>
  </si>
  <si>
    <t>CITY</t>
  </si>
  <si>
    <t>CONTACT NO.</t>
  </si>
  <si>
    <t>EMP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</si>
  <si>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</si>
  <si>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</si>
  <si>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</si>
  <si>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</si>
  <si>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</si>
  <si>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</si>
  <si>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</si>
  <si>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</si>
  <si>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</si>
  <si>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</si>
  <si>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</si>
  <si>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</si>
  <si>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</si>
  <si>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</si>
  <si>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GWALIOR</t>
  </si>
  <si>
    <t>JHANSI</t>
  </si>
  <si>
    <t>DELHI</t>
  </si>
  <si>
    <t>KANPUR</t>
  </si>
  <si>
    <t>LAKHNAU</t>
  </si>
  <si>
    <t>MUMBAI</t>
  </si>
  <si>
    <t>BANGLORE</t>
  </si>
  <si>
    <t>PUNE</t>
  </si>
  <si>
    <t>NASIK</t>
  </si>
  <si>
    <t>DATE</t>
  </si>
  <si>
    <t>sub2</t>
  </si>
  <si>
    <t>sub3</t>
  </si>
  <si>
    <t>SUB1</t>
  </si>
  <si>
    <t>SUM</t>
  </si>
  <si>
    <t>average</t>
  </si>
  <si>
    <t>count</t>
  </si>
  <si>
    <t>min</t>
  </si>
  <si>
    <t>max</t>
  </si>
  <si>
    <t>Sales</t>
  </si>
  <si>
    <t>incentive</t>
  </si>
  <si>
    <t>And con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</si>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</sst>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9240-49E7-414D-BA77-0D9C816866C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BD65-FE6C-4EEA-9D6A-769508E822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C024-A0E0-4FFF-A5BF-EC9824625AFA}">
  <dimension ref="A1:Q34"/>
  <sheetViews>
    <sheetView tabSelected="1" zoomScale="160" zoomScaleNormal="117" workbookViewId="0">
      <selection activeCell="M23" sqref="M23"/>
    </sheetView>
  </sheetViews>
  <sheetFormatPr defaultRowHeight="15" x14ac:dyDescent="0.25"/>
  <cols>
    <col min="1" max="1" width="4.42578125" bestFit="1" customWidth="1"/>
    <col min="2" max="2" width="10.42578125" customWidth="1"/>
    <col min="3" max="3" width="13.28515625" bestFit="1" customWidth="1"/>
    <col min="5" max="5" width="13" customWidth="1"/>
    <col min="6" max="6" width="7.5703125" customWidth="1"/>
    <col min="19" max="19" width="9.85546875" customWidth="1"/>
  </cols>
  <sheetData>
    <row r="1" spans="1:17" ht="30.75" customHeight="1" x14ac:dyDescent="0.25">
      <c r="A1" s="6"/>
      <c r="B1" s="6"/>
      <c r="C1" s="6"/>
      <c r="D1" s="6"/>
      <c r="E1" s="6"/>
      <c r="F1" s="2"/>
      <c r="G1" s="2"/>
      <c r="H1" s="2"/>
    </row>
    <row r="2" spans="1:17" x14ac:dyDescent="0.25">
      <c r="A2" t="s">
        <v>0</v>
      </c>
      <c r="B2" s="1" t="s">
        <v>1</v>
      </c>
      <c r="C2" t="s">
        <v>2</v>
      </c>
      <c r="D2" t="s">
        <v>3</v>
      </c>
      <c r="E2" s="1" t="s">
        <v>27</v>
      </c>
      <c r="F2" s="1" t="s">
        <v>30</v>
      </c>
      <c r="G2" s="1" t="s">
        <v>28</v>
      </c>
      <c r="H2" s="1" t="s">
        <v>29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O2" s="4" t="s">
        <v>36</v>
      </c>
      <c r="P2" s="1" t="s">
        <v>37</v>
      </c>
      <c r="Q2" s="1" t="s">
        <v>38</v>
      </c>
    </row>
    <row r="3" spans="1:17" x14ac:dyDescent="0.25">
      <c r="A3">
        <v>23</v>
      </c>
      <c r="B3" s="1" t="s">
        <v>18</v>
      </c>
      <c r="D3" t="s">
        <v>4</v>
      </c>
      <c r="E3" s="3">
        <v>44698</v>
      </c>
      <c r="F3" s="1">
        <v>39</v>
      </c>
      <c r="G3" s="1">
        <v>76</v>
      </c>
      <c r="H3" s="1">
        <v>17</v>
      </c>
      <c r="I3">
        <f>SUM(F3:H3)</f>
        <v>132</v>
      </c>
      <c r="J3">
        <f>AVERAGE(F3:H3)</f>
        <v>44</v>
      </c>
      <c r="K3" s="1">
        <f>COUNT(F3:H3)+10</f>
        <v>13</v>
      </c>
      <c r="L3" s="1">
        <f>MIN(F3:H3)</f>
        <v>17</v>
      </c>
      <c r="M3" s="1">
        <f>MAX(F3:H3)</f>
        <v>76</v>
      </c>
      <c r="O3" s="5">
        <v>80000</v>
      </c>
      <c r="P3" s="1">
        <f>IF(O3&gt;=75000,O3*20%,IF(O3&gt;=50000,O3*15%,O3*10%))</f>
        <v>16000</v>
      </c>
      <c r="Q3" s="1" t="str">
        <f>IF(AND(O3&gt;=5000,P3&gt;10000),"Yes","No")</f>
        <v>Yes</v>
      </c>
    </row>
    <row r="4" spans="1:17" x14ac:dyDescent="0.25">
      <c r="A4">
        <v>23</v>
      </c>
      <c r="B4" s="1" t="s">
        <v>19</v>
      </c>
      <c r="D4" t="s">
        <v>5</v>
      </c>
      <c r="E4" s="3">
        <v>44699</v>
      </c>
      <c r="F4" s="1">
        <v>20</v>
      </c>
      <c r="G4" s="1">
        <v>19</v>
      </c>
      <c r="H4" s="1">
        <v>82</v>
      </c>
      <c r="I4">
        <v>121</v>
      </c>
      <c r="J4">
        <f t="shared" ref="J4:J17" si="0">AVERAGE(F4:H4)</f>
        <v>40.333333333333336</v>
      </c>
      <c r="K4" s="1">
        <f t="shared" ref="K4:K17" si="1">COUNT(F4:H4)</f>
        <v>3</v>
      </c>
      <c r="L4" s="1">
        <f t="shared" ref="L4:L15" si="2">MIN(F4:H4)</f>
        <v>19</v>
      </c>
      <c r="M4" s="1">
        <f t="shared" ref="M4:M17" si="3">MAX(F4:H4)</f>
        <v>82</v>
      </c>
      <c r="O4" s="5">
        <v>30000</v>
      </c>
      <c r="P4" s="1">
        <f t="shared" ref="P4:P12" si="4">IF(O4&gt;=75000,O4*20%,IF(O4&gt;=50000,O4*15%,O4*10%))</f>
        <v>3000</v>
      </c>
      <c r="Q4" s="1" t="str">
        <f t="shared" ref="Q4:Q12" si="5">IF(AND(O4&gt;=5000,P4&gt;10000),"Yes","No")</f>
        <v>No</v>
      </c>
    </row>
    <row r="5" spans="1:17" x14ac:dyDescent="0.25">
      <c r="A5">
        <v>24</v>
      </c>
      <c r="B5" s="1" t="s">
        <v>20</v>
      </c>
      <c r="D5" t="s">
        <v>6</v>
      </c>
      <c r="E5" s="3">
        <v>44700</v>
      </c>
      <c r="F5" s="1">
        <v>13</v>
      </c>
      <c r="G5" s="1">
        <v>24</v>
      </c>
      <c r="H5" s="1">
        <v>14</v>
      </c>
      <c r="I5">
        <v>51</v>
      </c>
      <c r="J5">
        <f t="shared" si="0"/>
        <v>17</v>
      </c>
      <c r="K5" s="1">
        <f t="shared" si="1"/>
        <v>3</v>
      </c>
      <c r="L5" s="1">
        <f t="shared" si="2"/>
        <v>13</v>
      </c>
      <c r="M5" s="1">
        <f t="shared" si="3"/>
        <v>24</v>
      </c>
      <c r="O5" s="5">
        <v>90000</v>
      </c>
      <c r="P5" s="1">
        <f t="shared" si="4"/>
        <v>18000</v>
      </c>
      <c r="Q5" s="1" t="str">
        <f t="shared" si="5"/>
        <v>Yes</v>
      </c>
    </row>
    <row r="6" spans="1:17" x14ac:dyDescent="0.25">
      <c r="A6">
        <v>25</v>
      </c>
      <c r="B6" s="1" t="s">
        <v>21</v>
      </c>
      <c r="D6" t="s">
        <v>7</v>
      </c>
      <c r="E6" s="3">
        <v>44701</v>
      </c>
      <c r="F6" s="1">
        <v>13</v>
      </c>
      <c r="G6" s="1">
        <v>78</v>
      </c>
      <c r="H6" s="1">
        <v>97</v>
      </c>
      <c r="I6">
        <v>188</v>
      </c>
      <c r="J6">
        <f t="shared" si="0"/>
        <v>62.666666666666664</v>
      </c>
      <c r="K6" s="1">
        <f t="shared" si="1"/>
        <v>3</v>
      </c>
      <c r="L6" s="1">
        <f t="shared" si="2"/>
        <v>13</v>
      </c>
      <c r="M6" s="1">
        <f t="shared" si="3"/>
        <v>97</v>
      </c>
      <c r="O6" s="5">
        <v>40000</v>
      </c>
      <c r="P6" s="1">
        <f t="shared" si="4"/>
        <v>4000</v>
      </c>
      <c r="Q6" s="1" t="str">
        <f t="shared" si="5"/>
        <v>No</v>
      </c>
    </row>
    <row r="7" spans="1:17" x14ac:dyDescent="0.25">
      <c r="A7">
        <v>21</v>
      </c>
      <c r="B7" s="1" t="s">
        <v>22</v>
      </c>
      <c r="D7" t="s">
        <v>8</v>
      </c>
      <c r="E7" s="3">
        <v>44702</v>
      </c>
      <c r="F7" s="1">
        <v>32</v>
      </c>
      <c r="G7" s="1">
        <v>75</v>
      </c>
      <c r="H7" s="1">
        <v>42</v>
      </c>
      <c r="I7">
        <v>149</v>
      </c>
      <c r="J7">
        <f t="shared" si="0"/>
        <v>49.666666666666664</v>
      </c>
      <c r="K7" s="1">
        <f t="shared" si="1"/>
        <v>3</v>
      </c>
      <c r="L7" s="1">
        <f t="shared" si="2"/>
        <v>32</v>
      </c>
      <c r="M7" s="1">
        <f t="shared" si="3"/>
        <v>75</v>
      </c>
      <c r="O7" s="5">
        <v>75000</v>
      </c>
      <c r="P7" s="1">
        <f t="shared" si="4"/>
        <v>15000</v>
      </c>
      <c r="Q7" s="1" t="str">
        <f t="shared" si="5"/>
        <v>Yes</v>
      </c>
    </row>
    <row r="8" spans="1:17" x14ac:dyDescent="0.25">
      <c r="A8">
        <v>22</v>
      </c>
      <c r="B8" s="1" t="s">
        <v>20</v>
      </c>
      <c r="D8" t="s">
        <v>9</v>
      </c>
      <c r="E8" s="3">
        <v>44703</v>
      </c>
      <c r="F8" s="1">
        <v>75</v>
      </c>
      <c r="G8" s="1">
        <v>94</v>
      </c>
      <c r="H8" s="1">
        <v>67</v>
      </c>
      <c r="I8">
        <v>236</v>
      </c>
      <c r="J8">
        <f>AVERAGE(F8:H8)</f>
        <v>78.666666666666671</v>
      </c>
      <c r="K8" s="1">
        <f t="shared" si="1"/>
        <v>3</v>
      </c>
      <c r="L8" s="1">
        <f t="shared" si="2"/>
        <v>67</v>
      </c>
      <c r="M8" s="1">
        <f t="shared" si="3"/>
        <v>94</v>
      </c>
      <c r="O8" s="5">
        <v>95000</v>
      </c>
      <c r="P8" s="1">
        <f t="shared" si="4"/>
        <v>19000</v>
      </c>
      <c r="Q8" s="1" t="str">
        <f t="shared" si="5"/>
        <v>Yes</v>
      </c>
    </row>
    <row r="9" spans="1:17" x14ac:dyDescent="0.25">
      <c r="A9">
        <v>23</v>
      </c>
      <c r="B9" s="1" t="s">
        <v>23</v>
      </c>
      <c r="D9" t="s">
        <v>10</v>
      </c>
      <c r="E9" s="3">
        <v>44704</v>
      </c>
      <c r="F9" s="1">
        <v>95</v>
      </c>
      <c r="G9" s="1">
        <v>38</v>
      </c>
      <c r="H9" s="1">
        <v>49</v>
      </c>
      <c r="I9">
        <v>182</v>
      </c>
      <c r="J9">
        <f t="shared" si="0"/>
        <v>60.666666666666664</v>
      </c>
      <c r="K9" s="1">
        <f t="shared" si="1"/>
        <v>3</v>
      </c>
      <c r="L9" s="1">
        <f t="shared" si="2"/>
        <v>38</v>
      </c>
      <c r="M9" s="1">
        <f t="shared" si="3"/>
        <v>95</v>
      </c>
      <c r="O9" s="5">
        <v>28000</v>
      </c>
      <c r="P9" s="1">
        <f t="shared" si="4"/>
        <v>2800</v>
      </c>
      <c r="Q9" s="1" t="str">
        <f t="shared" si="5"/>
        <v>No</v>
      </c>
    </row>
    <row r="10" spans="1:17" x14ac:dyDescent="0.25">
      <c r="A10">
        <v>24</v>
      </c>
      <c r="B10" s="1" t="s">
        <v>18</v>
      </c>
      <c r="D10" t="s">
        <v>11</v>
      </c>
      <c r="E10" s="3">
        <v>44705</v>
      </c>
      <c r="F10" s="1">
        <v>38</v>
      </c>
      <c r="G10" s="1">
        <v>79</v>
      </c>
      <c r="H10" s="1">
        <v>31</v>
      </c>
      <c r="I10">
        <v>148</v>
      </c>
      <c r="J10">
        <f t="shared" si="0"/>
        <v>49.333333333333336</v>
      </c>
      <c r="K10" s="1">
        <f t="shared" si="1"/>
        <v>3</v>
      </c>
      <c r="L10" s="1">
        <f t="shared" si="2"/>
        <v>31</v>
      </c>
      <c r="M10" s="1">
        <f t="shared" si="3"/>
        <v>79</v>
      </c>
      <c r="O10" s="5">
        <v>42000</v>
      </c>
      <c r="P10" s="1">
        <f t="shared" si="4"/>
        <v>4200</v>
      </c>
      <c r="Q10" s="1" t="str">
        <f t="shared" si="5"/>
        <v>No</v>
      </c>
    </row>
    <row r="11" spans="1:17" x14ac:dyDescent="0.25">
      <c r="A11">
        <v>23</v>
      </c>
      <c r="B11" s="1" t="s">
        <v>24</v>
      </c>
      <c r="D11" t="s">
        <v>12</v>
      </c>
      <c r="E11" s="3">
        <v>44706</v>
      </c>
      <c r="F11" s="1">
        <v>22</v>
      </c>
      <c r="G11" s="1">
        <v>78</v>
      </c>
      <c r="H11" s="1">
        <v>39</v>
      </c>
      <c r="I11">
        <v>139</v>
      </c>
      <c r="J11">
        <f t="shared" si="0"/>
        <v>46.333333333333336</v>
      </c>
      <c r="K11" s="1">
        <f t="shared" si="1"/>
        <v>3</v>
      </c>
      <c r="L11" s="1">
        <f t="shared" si="2"/>
        <v>22</v>
      </c>
      <c r="M11" s="1">
        <f t="shared" si="3"/>
        <v>78</v>
      </c>
      <c r="O11" s="5">
        <v>68000</v>
      </c>
      <c r="P11" s="1">
        <f t="shared" si="4"/>
        <v>10200</v>
      </c>
      <c r="Q11" s="1" t="str">
        <f t="shared" si="5"/>
        <v>Yes</v>
      </c>
    </row>
    <row r="12" spans="1:17" x14ac:dyDescent="0.25">
      <c r="A12">
        <v>22</v>
      </c>
      <c r="B12" s="1" t="s">
        <v>25</v>
      </c>
      <c r="D12" t="s">
        <v>13</v>
      </c>
      <c r="E12" s="3">
        <v>44707</v>
      </c>
      <c r="F12" s="1">
        <v>90</v>
      </c>
      <c r="G12" s="1">
        <v>84</v>
      </c>
      <c r="H12" s="1">
        <v>97</v>
      </c>
      <c r="I12">
        <v>271</v>
      </c>
      <c r="J12">
        <f t="shared" si="0"/>
        <v>90.333333333333329</v>
      </c>
      <c r="K12" s="1">
        <f t="shared" si="1"/>
        <v>3</v>
      </c>
      <c r="L12" s="1">
        <f t="shared" si="2"/>
        <v>84</v>
      </c>
      <c r="M12" s="1">
        <f t="shared" si="3"/>
        <v>97</v>
      </c>
      <c r="O12" s="5">
        <v>91000</v>
      </c>
      <c r="P12" s="1">
        <f t="shared" si="4"/>
        <v>18200</v>
      </c>
      <c r="Q12" s="1" t="str">
        <f t="shared" si="5"/>
        <v>Yes</v>
      </c>
    </row>
    <row r="13" spans="1:17" x14ac:dyDescent="0.25">
      <c r="A13">
        <v>21</v>
      </c>
      <c r="B13" s="1" t="s">
        <v>26</v>
      </c>
      <c r="D13" t="s">
        <v>14</v>
      </c>
      <c r="E13" s="3">
        <v>44708</v>
      </c>
      <c r="F13" s="1">
        <v>38</v>
      </c>
      <c r="G13" s="1">
        <v>89</v>
      </c>
      <c r="H13" s="1">
        <v>35</v>
      </c>
      <c r="I13">
        <v>162</v>
      </c>
      <c r="J13">
        <f t="shared" si="0"/>
        <v>54</v>
      </c>
      <c r="K13" s="1">
        <f t="shared" si="1"/>
        <v>3</v>
      </c>
      <c r="L13" s="1">
        <f t="shared" si="2"/>
        <v>35</v>
      </c>
      <c r="M13" s="1">
        <f t="shared" si="3"/>
        <v>89</v>
      </c>
    </row>
    <row r="14" spans="1:17" x14ac:dyDescent="0.25">
      <c r="A14">
        <v>24</v>
      </c>
      <c r="B14" s="1" t="s">
        <v>25</v>
      </c>
      <c r="D14" t="s">
        <v>15</v>
      </c>
      <c r="E14" s="3">
        <v>44709</v>
      </c>
      <c r="F14" s="1">
        <v>79</v>
      </c>
      <c r="G14" s="1">
        <v>74</v>
      </c>
      <c r="H14" s="1">
        <v>54</v>
      </c>
      <c r="I14">
        <v>207</v>
      </c>
      <c r="J14">
        <f t="shared" si="0"/>
        <v>69</v>
      </c>
      <c r="K14" s="1">
        <f t="shared" si="1"/>
        <v>3</v>
      </c>
      <c r="L14" s="1">
        <f t="shared" si="2"/>
        <v>54</v>
      </c>
      <c r="M14" s="1">
        <f t="shared" si="3"/>
        <v>79</v>
      </c>
    </row>
    <row r="15" spans="1:17" x14ac:dyDescent="0.25">
      <c r="A15">
        <v>25</v>
      </c>
      <c r="B15" s="1" t="s">
        <v>26</v>
      </c>
      <c r="D15" t="s">
        <v>16</v>
      </c>
      <c r="E15" s="3">
        <v>44710</v>
      </c>
      <c r="F15" s="1">
        <v>98</v>
      </c>
      <c r="G15" s="1">
        <v>40</v>
      </c>
      <c r="H15" s="1">
        <v>93</v>
      </c>
      <c r="I15">
        <v>231</v>
      </c>
      <c r="J15">
        <f t="shared" si="0"/>
        <v>77</v>
      </c>
      <c r="K15" s="1">
        <f t="shared" si="1"/>
        <v>3</v>
      </c>
      <c r="L15" s="1">
        <f t="shared" si="2"/>
        <v>40</v>
      </c>
      <c r="M15" s="1">
        <f t="shared" si="3"/>
        <v>98</v>
      </c>
    </row>
    <row r="16" spans="1:17" x14ac:dyDescent="0.25">
      <c r="A16">
        <v>26</v>
      </c>
      <c r="B16" s="1" t="s">
        <v>18</v>
      </c>
      <c r="D16" t="s">
        <v>17</v>
      </c>
      <c r="E16" s="3">
        <v>44711</v>
      </c>
      <c r="F16" s="1">
        <v>74</v>
      </c>
      <c r="G16" s="1">
        <v>18</v>
      </c>
      <c r="H16" s="1">
        <v>44</v>
      </c>
      <c r="I16">
        <v>136</v>
      </c>
      <c r="J16">
        <f t="shared" si="0"/>
        <v>45.333333333333336</v>
      </c>
      <c r="K16" s="1">
        <f t="shared" si="1"/>
        <v>3</v>
      </c>
      <c r="L16" s="1">
        <f>MIN(F16:H16)</f>
        <v>18</v>
      </c>
      <c r="M16" s="1">
        <f t="shared" si="3"/>
        <v>74</v>
      </c>
    </row>
    <row r="17" spans="6:13" x14ac:dyDescent="0.25">
      <c r="F17" s="1">
        <f>SUM(F3:F16)</f>
        <v>726</v>
      </c>
      <c r="G17" s="1">
        <f>SUM(G3:G16)</f>
        <v>866</v>
      </c>
      <c r="H17" s="1">
        <f>SUM(H3:H16)</f>
        <v>761</v>
      </c>
      <c r="I17">
        <f t="shared" ref="I17" si="6">SUM(F17:H17)</f>
        <v>2353</v>
      </c>
      <c r="J17">
        <f t="shared" si="0"/>
        <v>784.33333333333337</v>
      </c>
      <c r="K17" s="1">
        <f t="shared" si="1"/>
        <v>3</v>
      </c>
      <c r="L17" s="1">
        <f>MIN(F17:H17)</f>
        <v>726</v>
      </c>
      <c r="M17" s="1">
        <f t="shared" si="3"/>
        <v>866</v>
      </c>
    </row>
    <row r="21" spans="6:13" x14ac:dyDescent="0.25">
      <c r="J21" s="1"/>
      <c r="K21" s="1"/>
      <c r="L21" s="1"/>
    </row>
    <row r="22" spans="6:13" x14ac:dyDescent="0.25">
      <c r="J22" s="1"/>
      <c r="K22" s="1"/>
      <c r="L22" s="1"/>
    </row>
    <row r="23" spans="6:13" x14ac:dyDescent="0.25">
      <c r="J23" s="1"/>
      <c r="K23" s="1"/>
      <c r="L23" s="1"/>
      <c r="M23" t="s">
        <v>39</v>
      </c>
    </row>
    <row r="24" spans="6:13" x14ac:dyDescent="0.25">
      <c r="J24" s="1"/>
      <c r="K24" s="1"/>
      <c r="L24" s="1"/>
    </row>
    <row r="25" spans="6:13" x14ac:dyDescent="0.25">
      <c r="J25" s="1"/>
      <c r="K25" s="1"/>
      <c r="L25" s="1"/>
    </row>
    <row r="26" spans="6:13" x14ac:dyDescent="0.25">
      <c r="J26" s="1"/>
      <c r="K26" s="1"/>
      <c r="L26" s="1"/>
    </row>
    <row r="27" spans="6:13" x14ac:dyDescent="0.25">
      <c r="J27" s="1"/>
      <c r="K27" s="1"/>
      <c r="L27" s="1"/>
    </row>
    <row r="28" spans="6:13" x14ac:dyDescent="0.25">
      <c r="J28" s="1"/>
      <c r="K28" s="1"/>
      <c r="L28" s="1"/>
    </row>
    <row r="29" spans="6:13" x14ac:dyDescent="0.25">
      <c r="J29" s="1"/>
      <c r="K29" s="1"/>
      <c r="L29" s="1"/>
    </row>
    <row r="30" spans="6:13" x14ac:dyDescent="0.25">
      <c r="J30" s="1"/>
      <c r="K30" s="1"/>
      <c r="L30" s="1"/>
    </row>
    <row r="31" spans="6:13" x14ac:dyDescent="0.25">
      <c r="J31" s="1"/>
      <c r="K31" s="1"/>
      <c r="L31" s="1"/>
    </row>
    <row r="32" spans="6:13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Khan</dc:creator>
  <cp:lastModifiedBy>Moin Khan</cp:lastModifiedBy>
  <dcterms:created xsi:type="dcterms:W3CDTF">2026-04-03T03:08:23Z</dcterms:created>
  <dcterms:modified xsi:type="dcterms:W3CDTF">2026-05-02T06:26:13Z</dcterms:modified>
</cp:coreProperties>
</file>